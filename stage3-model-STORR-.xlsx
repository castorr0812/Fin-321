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torrconnor/Desktop/"/>
    </mc:Choice>
  </mc:AlternateContent>
  <xr:revisionPtr revIDLastSave="0" documentId="13_ncr:1_{B830BDB0-351A-EF46-BC8C-A7331BE2A083}" xr6:coauthVersionLast="47" xr6:coauthVersionMax="47" xr10:uidLastSave="{00000000-0000-0000-0000-000000000000}"/>
  <bookViews>
    <workbookView xWindow="0" yWindow="1660" windowWidth="28160" windowHeight="16360" xr2:uid="{00000000-000D-0000-FFFF-FFFF00000000}"/>
  </bookViews>
  <sheets>
    <sheet name="Model" sheetId="1" r:id="rId1"/>
    <sheet name="Notes" sheetId="2" r:id="rId2"/>
  </sheets>
  <definedNames>
    <definedName name="F0_IRP">Model!$E$14</definedName>
    <definedName name="FC_AMT">Model!$B$7</definedName>
    <definedName name="K_call">Model!$B$14</definedName>
    <definedName name="K_put">Model!$B$13</definedName>
    <definedName name="MM_EUR_borrow">Model!$E$11</definedName>
    <definedName name="Premium_call">Model!$B$16</definedName>
    <definedName name="Premium_put">Model!$B$15</definedName>
    <definedName name="r_EUR">Model!$B$11</definedName>
    <definedName name="r_USD">Model!$B$10</definedName>
    <definedName name="t_years">Model!$B$12</definedName>
    <definedName name="USD_forward">Model!$E$7</definedName>
    <definedName name="USD_mm">Model!$E$13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E14" i="1"/>
  <c r="E15" i="1" s="1"/>
  <c r="B14" i="1"/>
  <c r="F33" i="1" s="1"/>
  <c r="E11" i="1"/>
  <c r="E12" i="1" s="1"/>
  <c r="E13" i="1" s="1"/>
  <c r="I7" i="1"/>
  <c r="H7" i="1"/>
  <c r="E7" i="1"/>
  <c r="C33" i="1" s="1"/>
  <c r="I6" i="1"/>
  <c r="H6" i="1"/>
  <c r="E6" i="1"/>
  <c r="D33" i="1" l="1"/>
  <c r="D31" i="1"/>
  <c r="D29" i="1"/>
  <c r="D27" i="1"/>
  <c r="D25" i="1"/>
  <c r="D23" i="1"/>
  <c r="D32" i="1"/>
  <c r="D28" i="1"/>
  <c r="D24" i="1"/>
  <c r="D22" i="1"/>
  <c r="D26" i="1"/>
  <c r="D30" i="1"/>
  <c r="C22" i="1"/>
  <c r="C24" i="1"/>
  <c r="C26" i="1"/>
  <c r="C28" i="1"/>
  <c r="C30" i="1"/>
  <c r="C32" i="1"/>
  <c r="F22" i="1"/>
  <c r="F24" i="1"/>
  <c r="F26" i="1"/>
  <c r="F28" i="1"/>
  <c r="F30" i="1"/>
  <c r="F32" i="1"/>
  <c r="C23" i="1"/>
  <c r="C25" i="1"/>
  <c r="C27" i="1"/>
  <c r="C29" i="1"/>
  <c r="C31" i="1"/>
  <c r="F21" i="1"/>
  <c r="F23" i="1"/>
  <c r="F25" i="1"/>
  <c r="F27" i="1"/>
  <c r="F29" i="1"/>
  <c r="F31" i="1"/>
</calcChain>
</file>

<file path=xl/sharedStrings.xml><?xml version="1.0" encoding="utf-8"?>
<sst xmlns="http://schemas.openxmlformats.org/spreadsheetml/2006/main" count="79" uniqueCount="73">
  <si>
    <t>INPUTS (edit yellow cells)</t>
  </si>
  <si>
    <t>FORWARD HEDGE</t>
  </si>
  <si>
    <t>OPTION HEDGES</t>
  </si>
  <si>
    <t>Variable</t>
  </si>
  <si>
    <t>Value</t>
  </si>
  <si>
    <t>Unit</t>
  </si>
  <si>
    <t>Description</t>
  </si>
  <si>
    <t>Metric</t>
  </si>
  <si>
    <t>Put (Long)</t>
  </si>
  <si>
    <t>Call (Short)</t>
  </si>
  <si>
    <t>Locked-in rate (F0)</t>
  </si>
  <si>
    <t>Premium per EUR</t>
  </si>
  <si>
    <t>FC_AMT</t>
  </si>
  <si>
    <t>EUR</t>
  </si>
  <si>
    <t>USD Proceeds (EUR × F0)</t>
  </si>
  <si>
    <t>Total premium (USD)</t>
  </si>
  <si>
    <t>S0</t>
  </si>
  <si>
    <t>USD per EUR</t>
  </si>
  <si>
    <t>F0</t>
  </si>
  <si>
    <t>USD per EUR (1Y)</t>
  </si>
  <si>
    <t>MONEY-MARKET HEDGE (Borrow EUR → Convert → Invest USD)</t>
  </si>
  <si>
    <t>r_USD</t>
  </si>
  <si>
    <t>% p.a.</t>
  </si>
  <si>
    <t>Step</t>
  </si>
  <si>
    <t>r_EUR</t>
  </si>
  <si>
    <t>Borrow EUR today (PV of receivable)</t>
  </si>
  <si>
    <t>t_years</t>
  </si>
  <si>
    <t>Years</t>
  </si>
  <si>
    <t>Convert to USD at S0</t>
  </si>
  <si>
    <t>SUMMARY</t>
  </si>
  <si>
    <t>Invest USD at r_USD for t_years</t>
  </si>
  <si>
    <t>Forward hedge (USD)</t>
  </si>
  <si>
    <t>Implied forward via IRP (S0*(1+r_USD)/(1+r_EUR))</t>
  </si>
  <si>
    <t>K_put</t>
  </si>
  <si>
    <t>USD/EUR</t>
  </si>
  <si>
    <t>Parity check vs quoted F0 (difference)</t>
  </si>
  <si>
    <t>Premium_put</t>
  </si>
  <si>
    <t>Notes</t>
  </si>
  <si>
    <t>Option premiums treated as upfront USD cash flows (no discounting). All instruments sized to full receivable notional. Rates are simple annual; t_years = 1. Short call modeled as covered call: premium received and upside capped at K_call.</t>
  </si>
  <si>
    <t>SENSITIVITY: USD Proceeds by Ending EUR/USD (S_T)</t>
  </si>
  <si>
    <t>S_T (USD/EUR)</t>
  </si>
  <si>
    <t>With Put (long put)</t>
  </si>
  <si>
    <t>With Short Call (covered)</t>
  </si>
  <si>
    <t>Scenario:</t>
  </si>
  <si>
    <t>• Foreign-currency receivable: €12,500,000</t>
  </si>
  <si>
    <t>• Spot rate (S₀): 1.1632 USD/EUR</t>
  </si>
  <si>
    <t>• Forward rate (F₀): 1.0910 USD/EUR</t>
  </si>
  <si>
    <t>• USD interest rate: 4.11% p.a.</t>
  </si>
  <si>
    <t>• EUR interest rate: 2.15% p.a.</t>
  </si>
  <si>
    <t>• Time to maturity: 1 year</t>
  </si>
  <si>
    <t>Assumptions:</t>
  </si>
  <si>
    <t>• Interest rates quoted on a simple annual basis (360-day).</t>
  </si>
  <si>
    <t>• No counterparty, liquidity, or credit risks assumed.</t>
  </si>
  <si>
    <t>• Transaction costs: 0.10% of notional per FX leg.</t>
  </si>
  <si>
    <t>• Option premium paid upfront in USD.</t>
  </si>
  <si>
    <t>• All USD outputs expressed for CFO reporting clarity.</t>
  </si>
  <si>
    <t>Hedge Methods Included:</t>
  </si>
  <si>
    <t>1. Forward Hedge – Locks in EUR→USD at the 1-year forward rate (1.0910).</t>
  </si>
  <si>
    <t>2. Money-Market Hedge – Borrow EUR PV → convert at spot → invest USD.</t>
  </si>
  <si>
    <t>3. EUR Put Option – Strike: 1.1632 | Premium: 0.017 USD/EUR.</t>
  </si>
  <si>
    <t>Model Logic:</t>
  </si>
  <si>
    <t>• Forward proceeds = FC_AMT × F₀ × (1 – transaction cost).</t>
  </si>
  <si>
    <t>• MM hedge: PV_EUR = FC_AMT / (1 + r_EUR), convert to USD at S₀, invest at r_USD.</t>
  </si>
  <si>
    <t>• Option hedge: Receives max(S_T, K_put) × EUR – premium.</t>
  </si>
  <si>
    <t>Sensitivity Analysis:</t>
  </si>
  <si>
    <t>• S_T varied ±5% around spot in 1% increments.</t>
  </si>
  <si>
    <t>• Compares Unhedged, Forward, MM, and Put Option USD outcomes.</t>
  </si>
  <si>
    <t>Purpose:</t>
  </si>
  <si>
    <t>This model supports Treasury decision-making by comparing hedge strategies,</t>
  </si>
  <si>
    <t>evaluating cash-flow certainty, and assessing the impact of EUR/USD movements.</t>
  </si>
  <si>
    <t>Author: Connor Storr | Date: Nov 20, 2025</t>
  </si>
  <si>
    <t xml:space="preserve">NOTES – FX Receivable Hedge Model </t>
  </si>
  <si>
    <t>Stage 3 – FX Receivable Hedge Model (Scenario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</si>
</sst>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\$#,##0"/>
    <numFmt numFmtId="166" formatCode="\$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166" fontId="0" fillId="0" borderId="1" xfId="0" applyNumberFormat="1" applyBorder="1"/>
    <xf numFmtId="10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Hedge Outcomes vs Ending Spot (USD)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Unhedged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Model!$A$21:$A$33</c:f>
              <c:numCache>
                <c:formatCode>#,##0.0000</c:formatCode>
                <c:ptCount val="13"/>
                <c:pt idx="0">
                  <c:v>1.1000000000000001</c:v>
                </c:pt>
                <c:pt idx="1">
                  <c:v>1.1100000000000001</c:v>
                </c:pt>
                <c:pt idx="2">
                  <c:v>1.1200000000000001</c:v>
                </c:pt>
                <c:pt idx="3">
                  <c:v>1.1299999999999999</c:v>
                </c:pt>
                <c:pt idx="4">
                  <c:v>1.1399999999999999</c:v>
                </c:pt>
                <c:pt idx="5">
                  <c:v>1.1499999999999999</c:v>
                </c:pt>
                <c:pt idx="6">
                  <c:v>1.1599999999999999</c:v>
                </c:pt>
                <c:pt idx="7">
                  <c:v>1.17</c:v>
                </c:pt>
                <c:pt idx="8">
                  <c:v>1.18</c:v>
                </c:pt>
                <c:pt idx="9">
                  <c:v>1.19</c:v>
                </c:pt>
                <c:pt idx="10">
                  <c:v>1.2</c:v>
                </c:pt>
                <c:pt idx="11">
                  <c:v>1.21</c:v>
                </c:pt>
                <c:pt idx="12">
                  <c:v>1.22</c:v>
                </c:pt>
              </c:numCache>
            </c:numRef>
          </c:cat>
          <c:val>
            <c:numRef>
              <c:f>Model!$B$21:$B$33</c:f>
              <c:numCache>
                <c:formatCode>\$#,##0</c:formatCode>
                <c:ptCount val="13"/>
                <c:pt idx="1">
                  <c:v>13875000.000000002</c:v>
                </c:pt>
                <c:pt idx="2">
                  <c:v>14000000.000000002</c:v>
                </c:pt>
                <c:pt idx="3">
                  <c:v>14124999.999999998</c:v>
                </c:pt>
                <c:pt idx="4">
                  <c:v>14249999.999999998</c:v>
                </c:pt>
                <c:pt idx="5">
                  <c:v>14374999.999999998</c:v>
                </c:pt>
                <c:pt idx="6">
                  <c:v>14499999.999999998</c:v>
                </c:pt>
                <c:pt idx="7">
                  <c:v>14625000</c:v>
                </c:pt>
                <c:pt idx="8">
                  <c:v>14750000</c:v>
                </c:pt>
                <c:pt idx="9">
                  <c:v>14875000</c:v>
                </c:pt>
                <c:pt idx="10">
                  <c:v>15000000</c:v>
                </c:pt>
                <c:pt idx="11">
                  <c:v>15125000</c:v>
                </c:pt>
                <c:pt idx="12">
                  <c:v>15250000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3-B641-9820-FE29405EAD7C}"/>
            </c:ext>
          </c:extLst>
        </c:ser>
        <c:ser>
          <c:idx val="1"/>
          <c:order val="1"/>
          <c:tx>
            <c:v>Unhedged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Model!$A$21:$A$33</c:f>
              <c:numCache>
                <c:formatCode>#,##0.0000</c:formatCode>
                <c:ptCount val="13"/>
                <c:pt idx="0">
                  <c:v>1.1000000000000001</c:v>
                </c:pt>
                <c:pt idx="1">
                  <c:v>1.1100000000000001</c:v>
                </c:pt>
                <c:pt idx="2">
                  <c:v>1.1200000000000001</c:v>
                </c:pt>
                <c:pt idx="3">
                  <c:v>1.1299999999999999</c:v>
                </c:pt>
                <c:pt idx="4">
                  <c:v>1.1399999999999999</c:v>
                </c:pt>
                <c:pt idx="5">
                  <c:v>1.1499999999999999</c:v>
                </c:pt>
                <c:pt idx="6">
                  <c:v>1.1599999999999999</c:v>
                </c:pt>
                <c:pt idx="7">
                  <c:v>1.17</c:v>
                </c:pt>
                <c:pt idx="8">
                  <c:v>1.18</c:v>
                </c:pt>
                <c:pt idx="9">
                  <c:v>1.19</c:v>
                </c:pt>
                <c:pt idx="10">
                  <c:v>1.2</c:v>
                </c:pt>
                <c:pt idx="11">
                  <c:v>1.21</c:v>
                </c:pt>
                <c:pt idx="12">
                  <c:v>1.22</c:v>
                </c:pt>
              </c:numCache>
            </c:numRef>
          </c:cat>
          <c:val>
            <c:numRef>
              <c:f>Model!$C$21:$C$33</c:f>
              <c:numCache>
                <c:formatCode>\$#,##0</c:formatCode>
                <c:ptCount val="13"/>
                <c:pt idx="1">
                  <c:v>13637500</c:v>
                </c:pt>
                <c:pt idx="2">
                  <c:v>13637500</c:v>
                </c:pt>
                <c:pt idx="3">
                  <c:v>13637500</c:v>
                </c:pt>
                <c:pt idx="4">
                  <c:v>13637500</c:v>
                </c:pt>
                <c:pt idx="5">
                  <c:v>13637500</c:v>
                </c:pt>
                <c:pt idx="6">
                  <c:v>13637500</c:v>
                </c:pt>
                <c:pt idx="7">
                  <c:v>13637500</c:v>
                </c:pt>
                <c:pt idx="8">
                  <c:v>13637500</c:v>
                </c:pt>
                <c:pt idx="9">
                  <c:v>13637500</c:v>
                </c:pt>
                <c:pt idx="10">
                  <c:v>13637500</c:v>
                </c:pt>
                <c:pt idx="11">
                  <c:v>13637500</c:v>
                </c:pt>
                <c:pt idx="12">
                  <c:v>13637500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53-B641-9820-FE29405EAD7C}"/>
            </c:ext>
          </c:extLst>
        </c:ser>
        <c:ser>
          <c:idx val="2"/>
          <c:order val="2"/>
          <c:tx>
            <c:v>Forward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Model!$A$21:$A$33</c:f>
              <c:numCache>
                <c:formatCode>#,##0.0000</c:formatCode>
                <c:ptCount val="13"/>
                <c:pt idx="0">
                  <c:v>1.1000000000000001</c:v>
                </c:pt>
                <c:pt idx="1">
                  <c:v>1.1100000000000001</c:v>
                </c:pt>
                <c:pt idx="2">
                  <c:v>1.1200000000000001</c:v>
                </c:pt>
                <c:pt idx="3">
                  <c:v>1.1299999999999999</c:v>
                </c:pt>
                <c:pt idx="4">
                  <c:v>1.1399999999999999</c:v>
                </c:pt>
                <c:pt idx="5">
                  <c:v>1.1499999999999999</c:v>
                </c:pt>
                <c:pt idx="6">
                  <c:v>1.1599999999999999</c:v>
                </c:pt>
                <c:pt idx="7">
                  <c:v>1.17</c:v>
                </c:pt>
                <c:pt idx="8">
                  <c:v>1.18</c:v>
                </c:pt>
                <c:pt idx="9">
                  <c:v>1.19</c:v>
                </c:pt>
                <c:pt idx="10">
                  <c:v>1.2</c:v>
                </c:pt>
                <c:pt idx="11">
                  <c:v>1.21</c:v>
                </c:pt>
                <c:pt idx="12">
                  <c:v>1.22</c:v>
                </c:pt>
              </c:numCache>
            </c:numRef>
          </c:cat>
          <c:val>
            <c:numRef>
              <c:f>Model!$D$21:$D$33</c:f>
              <c:numCache>
                <c:formatCode>\$#,##0</c:formatCode>
                <c:ptCount val="13"/>
                <c:pt idx="1">
                  <c:v>14818985.805188447</c:v>
                </c:pt>
                <c:pt idx="2">
                  <c:v>14818985.805188447</c:v>
                </c:pt>
                <c:pt idx="3">
                  <c:v>14818985.805188447</c:v>
                </c:pt>
                <c:pt idx="4">
                  <c:v>14818985.805188447</c:v>
                </c:pt>
                <c:pt idx="5">
                  <c:v>14818985.805188447</c:v>
                </c:pt>
                <c:pt idx="6">
                  <c:v>14818985.805188447</c:v>
                </c:pt>
                <c:pt idx="7">
                  <c:v>14818985.805188447</c:v>
                </c:pt>
                <c:pt idx="8">
                  <c:v>14818985.805188447</c:v>
                </c:pt>
                <c:pt idx="9">
                  <c:v>14818985.805188447</c:v>
                </c:pt>
                <c:pt idx="10">
                  <c:v>14818985.805188447</c:v>
                </c:pt>
                <c:pt idx="11">
                  <c:v>14818985.805188447</c:v>
                </c:pt>
                <c:pt idx="12">
                  <c:v>14818985.805188447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53-B641-9820-FE29405EAD7C}"/>
            </c:ext>
          </c:extLst>
        </c:ser>
        <c:ser>
          <c:idx val="3"/>
          <c:order val="3"/>
          <c:tx>
            <c:v>Money Market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Model!$A$21:$A$33</c:f>
              <c:numCache>
                <c:formatCode>#,##0.0000</c:formatCode>
                <c:ptCount val="13"/>
                <c:pt idx="0">
                  <c:v>1.1000000000000001</c:v>
                </c:pt>
                <c:pt idx="1">
                  <c:v>1.1100000000000001</c:v>
                </c:pt>
                <c:pt idx="2">
                  <c:v>1.1200000000000001</c:v>
                </c:pt>
                <c:pt idx="3">
                  <c:v>1.1299999999999999</c:v>
                </c:pt>
                <c:pt idx="4">
                  <c:v>1.1399999999999999</c:v>
                </c:pt>
                <c:pt idx="5">
                  <c:v>1.1499999999999999</c:v>
                </c:pt>
                <c:pt idx="6">
                  <c:v>1.1599999999999999</c:v>
                </c:pt>
                <c:pt idx="7">
                  <c:v>1.17</c:v>
                </c:pt>
                <c:pt idx="8">
                  <c:v>1.18</c:v>
                </c:pt>
                <c:pt idx="9">
                  <c:v>1.19</c:v>
                </c:pt>
                <c:pt idx="10">
                  <c:v>1.2</c:v>
                </c:pt>
                <c:pt idx="11">
                  <c:v>1.21</c:v>
                </c:pt>
                <c:pt idx="12">
                  <c:v>1.22</c:v>
                </c:pt>
              </c:numCache>
            </c:numRef>
          </c:cat>
          <c:val>
            <c:numRef>
              <c:f>Model!$E$21:$E$33</c:f>
              <c:numCache>
                <c:formatCode>\$#,##0</c:formatCode>
                <c:ptCount val="13"/>
                <c:pt idx="0">
                  <c:v>-40000</c:v>
                </c:pt>
                <c:pt idx="1">
                  <c:v>-40000</c:v>
                </c:pt>
                <c:pt idx="2">
                  <c:v>-40000</c:v>
                </c:pt>
                <c:pt idx="3">
                  <c:v>-40000.000000001863</c:v>
                </c:pt>
                <c:pt idx="4">
                  <c:v>-40000.000000001863</c:v>
                </c:pt>
                <c:pt idx="5">
                  <c:v>-40000.000000001863</c:v>
                </c:pt>
                <c:pt idx="6">
                  <c:v>-40000.000000001863</c:v>
                </c:pt>
                <c:pt idx="7">
                  <c:v>85000</c:v>
                </c:pt>
                <c:pt idx="8">
                  <c:v>210000</c:v>
                </c:pt>
                <c:pt idx="9">
                  <c:v>335000</c:v>
                </c:pt>
                <c:pt idx="10">
                  <c:v>460000</c:v>
                </c:pt>
                <c:pt idx="11">
                  <c:v>585000</c:v>
                </c:pt>
                <c:pt idx="12">
                  <c:v>710000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53-B641-9820-FE29405EAD7C}"/>
            </c:ext>
          </c:extLst>
        </c:ser>
        <c:ser>
          <c:idx val="4"/>
          <c:order val="4"/>
          <c:tx>
            <c:v>With Put (long put)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Model!$A$21:$A$33</c:f>
              <c:numCache>
                <c:formatCode>#,##0.0000</c:formatCode>
                <c:ptCount val="13"/>
                <c:pt idx="0">
                  <c:v>1.1000000000000001</c:v>
                </c:pt>
                <c:pt idx="1">
                  <c:v>1.1100000000000001</c:v>
                </c:pt>
                <c:pt idx="2">
                  <c:v>1.1200000000000001</c:v>
                </c:pt>
                <c:pt idx="3">
                  <c:v>1.1299999999999999</c:v>
                </c:pt>
                <c:pt idx="4">
                  <c:v>1.1399999999999999</c:v>
                </c:pt>
                <c:pt idx="5">
                  <c:v>1.1499999999999999</c:v>
                </c:pt>
                <c:pt idx="6">
                  <c:v>1.1599999999999999</c:v>
                </c:pt>
                <c:pt idx="7">
                  <c:v>1.17</c:v>
                </c:pt>
                <c:pt idx="8">
                  <c:v>1.18</c:v>
                </c:pt>
                <c:pt idx="9">
                  <c:v>1.19</c:v>
                </c:pt>
                <c:pt idx="10">
                  <c:v>1.2</c:v>
                </c:pt>
                <c:pt idx="11">
                  <c:v>1.21</c:v>
                </c:pt>
                <c:pt idx="12">
                  <c:v>1.22</c:v>
                </c:pt>
              </c:numCache>
            </c:numRef>
          </c:cat>
          <c:val>
            <c:numRef>
              <c:f>Model!$F$21:$F$33</c:f>
              <c:numCache>
                <c:formatCode>\$#,##0</c:formatCode>
                <c:ptCount val="13"/>
                <c:pt idx="0">
                  <c:v>212500.00000000003</c:v>
                </c:pt>
                <c:pt idx="1">
                  <c:v>212500.00000000003</c:v>
                </c:pt>
                <c:pt idx="2">
                  <c:v>212500.00000000003</c:v>
                </c:pt>
                <c:pt idx="3">
                  <c:v>212500.00000000003</c:v>
                </c:pt>
                <c:pt idx="4">
                  <c:v>212500.00000000003</c:v>
                </c:pt>
                <c:pt idx="5">
                  <c:v>212500.00000000003</c:v>
                </c:pt>
                <c:pt idx="6">
                  <c:v>212500.00000000003</c:v>
                </c:pt>
                <c:pt idx="7">
                  <c:v>212500.00000000003</c:v>
                </c:pt>
                <c:pt idx="8">
                  <c:v>212500.00000000003</c:v>
                </c:pt>
                <c:pt idx="9">
                  <c:v>212500.00000000003</c:v>
                </c:pt>
                <c:pt idx="10">
                  <c:v>212500.00000000003</c:v>
                </c:pt>
                <c:pt idx="11">
                  <c:v>212500.00000000003</c:v>
                </c:pt>
                <c:pt idx="12">
                  <c:v>212500.00000000003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53-B641-9820-FE29405EA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S_T (USD per EUR)</a:t>
                </a:r>
              </a:p>
            </c:rich>
          </c:tx>
          <c:overlay val="0"/>
        </c:title>
        <c:numFmt formatCode="#,##0.000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592666</xdr:colOff>
      <xdr:row>10</xdr:row>
      <xdr:rowOff>101600</xdr:rowOff>
    </xdr:from>
    <xdr:to>
      <xdr:col>11</xdr:col>
      <xdr:colOff>382058</xdr:colOff>
      <xdr:row>27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</sheetPr>
  <dimension ref="A1:I33"/>
  <sheetViews>
    <sheetView tabSelected="1" zoomScale="75" workbookViewId="0">
      <selection activeCell="D4" sqref="D4"/>
    </sheetView>
  </sheetViews>
  <sheetFormatPr baseColWidth="10" defaultColWidth="8.83203125" defaultRowHeight="15" x14ac:dyDescent="0.2"/>
  <cols>
    <col min="1" max="1" width="50.5" bestFit="1" customWidth="1"/>
    <col min="2" max="2" width="20.6640625" customWidth="1"/>
    <col min="3" max="3" width="13.6640625" bestFit="1" customWidth="1"/>
    <col min="4" max="4" width="51" bestFit="1" customWidth="1"/>
    <col min="5" max="5" width="20.6640625" customWidth="1"/>
    <col min="6" max="6" width="20.5" bestFit="1" customWidth="1"/>
    <col min="7" max="7" width="24.6640625" customWidth="1"/>
    <col min="8" max="8" width="22" bestFit="1" customWidth="1"/>
    <col min="9" max="10" width="16.6640625" customWidth="1"/>
  </cols>
  <sheetData>
    <row r="1" spans="1:9" ht="19" customHeight="1" x14ac:dyDescent="0.25">
      <c r="A1" s="1" t="s">
        <v>72</v>
      </c>
    </row>
    <row r="2" spans="1:9" ht="16" customHeight="1" x14ac:dyDescent="0.2">
      <c r="A2" s="2" t="s">
        <v>70</v>
      </c>
    </row>
    <row r="4" spans="1:9" x14ac:dyDescent="0.2">
      <c r="A4" s="3" t="s">
        <v>0</v>
      </c>
      <c r="D4" s="3" t="s">
        <v>1</v>
      </c>
      <c r="G4" s="3" t="s">
        <v>2</v>
      </c>
    </row>
    <row r="5" spans="1:9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4</v>
      </c>
      <c r="G5" s="3" t="s">
        <v>7</v>
      </c>
      <c r="H5" s="3" t="s">
        <v>8</v>
      </c>
      <c r="I5" s="3" t="s">
        <v>9</v>
      </c>
    </row>
    <row r="6" spans="1:9" x14ac:dyDescent="0.2">
      <c r="D6" s="4" t="s">
        <v>10</v>
      </c>
      <c r="E6" s="5">
        <f>B9</f>
        <v>1.091</v>
      </c>
      <c r="G6" s="4" t="s">
        <v>11</v>
      </c>
      <c r="H6" s="5">
        <f>Premium_put</f>
        <v>1.1632</v>
      </c>
      <c r="I6" s="5">
        <f>Premium_call</f>
        <v>1.7000000000000001E-2</v>
      </c>
    </row>
    <row r="7" spans="1:9" x14ac:dyDescent="0.2">
      <c r="A7" s="4" t="s">
        <v>12</v>
      </c>
      <c r="B7" s="6">
        <v>12500000</v>
      </c>
      <c r="C7" s="4" t="s">
        <v>13</v>
      </c>
      <c r="D7" s="4" t="s">
        <v>14</v>
      </c>
      <c r="E7" s="7">
        <f>FC_AMT*B9</f>
        <v>13637500</v>
      </c>
      <c r="G7" s="4" t="s">
        <v>15</v>
      </c>
      <c r="H7" s="8">
        <f>Premium_put*FC_AMT</f>
        <v>14540000</v>
      </c>
      <c r="I7" s="8">
        <f>Premium_call*FC_AMT</f>
        <v>212500.00000000003</v>
      </c>
    </row>
    <row r="8" spans="1:9" x14ac:dyDescent="0.2">
      <c r="A8" s="4" t="s">
        <v>16</v>
      </c>
      <c r="B8" s="6">
        <v>1.1632</v>
      </c>
      <c r="C8" s="4" t="s">
        <v>17</v>
      </c>
    </row>
    <row r="9" spans="1:9" x14ac:dyDescent="0.2">
      <c r="A9" s="4" t="s">
        <v>18</v>
      </c>
      <c r="B9" s="6">
        <v>1.091</v>
      </c>
      <c r="C9" s="4" t="s">
        <v>19</v>
      </c>
      <c r="D9" s="3" t="s">
        <v>20</v>
      </c>
    </row>
    <row r="10" spans="1:9" x14ac:dyDescent="0.2">
      <c r="A10" s="4" t="s">
        <v>21</v>
      </c>
      <c r="B10" s="9">
        <v>4.1099999999999998E-2</v>
      </c>
      <c r="C10" s="4" t="s">
        <v>22</v>
      </c>
      <c r="D10" s="3" t="s">
        <v>23</v>
      </c>
      <c r="E10" s="3" t="s">
        <v>4</v>
      </c>
    </row>
    <row r="11" spans="1:9" x14ac:dyDescent="0.2">
      <c r="A11" s="4" t="s">
        <v>24</v>
      </c>
      <c r="B11" s="9">
        <v>2.1499999999999998E-2</v>
      </c>
      <c r="C11" s="4" t="s">
        <v>22</v>
      </c>
      <c r="D11" s="4" t="s">
        <v>25</v>
      </c>
      <c r="E11" s="10">
        <f>FC_AMT/(1+r_EUR*t_years)</f>
        <v>12236906.510034263</v>
      </c>
    </row>
    <row r="12" spans="1:9" x14ac:dyDescent="0.2">
      <c r="A12" s="4" t="s">
        <v>26</v>
      </c>
      <c r="B12" s="6">
        <v>1</v>
      </c>
      <c r="C12" s="4" t="s">
        <v>27</v>
      </c>
      <c r="D12" s="4" t="s">
        <v>28</v>
      </c>
      <c r="E12" s="7">
        <f>MM_EUR_borrow*B8</f>
        <v>14233969.652471855</v>
      </c>
    </row>
    <row r="13" spans="1:9" x14ac:dyDescent="0.2">
      <c r="A13" s="3" t="s">
        <v>29</v>
      </c>
      <c r="B13" s="6">
        <v>1.1599999999999999</v>
      </c>
      <c r="C13" s="4" t="s">
        <v>17</v>
      </c>
      <c r="D13" s="4" t="s">
        <v>30</v>
      </c>
      <c r="E13" s="7">
        <f>E12*(1+r_USD*t_years)</f>
        <v>14818985.805188447</v>
      </c>
    </row>
    <row r="14" spans="1:9" x14ac:dyDescent="0.2">
      <c r="A14" s="4" t="s">
        <v>31</v>
      </c>
      <c r="B14" s="7">
        <f>USD_forward</f>
        <v>13637500</v>
      </c>
      <c r="C14" s="4" t="s">
        <v>17</v>
      </c>
      <c r="D14" s="4" t="s">
        <v>32</v>
      </c>
      <c r="E14" s="5">
        <f>B8*(1+r_USD*t_years)/(1+r_EUR*t_years)</f>
        <v>1.1855188644150756</v>
      </c>
    </row>
    <row r="15" spans="1:9" x14ac:dyDescent="0.2">
      <c r="A15" s="4" t="s">
        <v>33</v>
      </c>
      <c r="B15" s="7">
        <v>1.1632</v>
      </c>
      <c r="C15" s="4" t="s">
        <v>34</v>
      </c>
      <c r="D15" s="4" t="s">
        <v>35</v>
      </c>
      <c r="E15" s="5">
        <f>F0_IRP-B9</f>
        <v>9.4518864415075621E-2</v>
      </c>
    </row>
    <row r="16" spans="1:9" x14ac:dyDescent="0.2">
      <c r="A16" s="4" t="s">
        <v>36</v>
      </c>
      <c r="B16" s="5">
        <v>1.7000000000000001E-2</v>
      </c>
      <c r="C16" s="4" t="s">
        <v>34</v>
      </c>
    </row>
    <row r="17" spans="1:6" x14ac:dyDescent="0.2">
      <c r="A17" s="4" t="s">
        <v>37</v>
      </c>
      <c r="B17" s="12" t="s">
        <v>38</v>
      </c>
      <c r="C17" s="13"/>
      <c r="D17" s="13"/>
    </row>
    <row r="18" spans="1:6" x14ac:dyDescent="0.2">
      <c r="B18" s="13"/>
      <c r="C18" s="13"/>
      <c r="D18" s="13"/>
    </row>
    <row r="19" spans="1:6" x14ac:dyDescent="0.2">
      <c r="A19" s="3" t="s">
        <v>39</v>
      </c>
      <c r="B19" s="13"/>
      <c r="C19" s="13"/>
      <c r="D19" s="13"/>
    </row>
    <row r="20" spans="1:6" x14ac:dyDescent="0.2">
      <c r="A20" s="3" t="s">
        <v>40</v>
      </c>
      <c r="B20" s="13"/>
      <c r="C20" s="13"/>
      <c r="D20" s="13"/>
      <c r="E20" s="3" t="s">
        <v>41</v>
      </c>
      <c r="F20" s="3" t="s">
        <v>42</v>
      </c>
    </row>
    <row r="21" spans="1:6" x14ac:dyDescent="0.2">
      <c r="A21" s="5">
        <v>1.1000000000000001</v>
      </c>
      <c r="B21" s="13"/>
      <c r="C21" s="13"/>
      <c r="D21" s="13"/>
      <c r="E21" s="7">
        <f t="shared" ref="E21:E33" si="0">FC_AMT*A21 + FC_AMT*MAX(K_put - A21,0) - FC_AMT*Premium_put</f>
        <v>-40000</v>
      </c>
      <c r="F21" s="7">
        <f t="shared" ref="F21:F33" si="1">FC_AMT*MIN(A21 - FC_AMT)*MAX(A21 - K_call,0) + FC_AMT*Premium_call</f>
        <v>212500.00000000003</v>
      </c>
    </row>
    <row r="22" spans="1:6" x14ac:dyDescent="0.2">
      <c r="A22" s="5">
        <v>1.1100000000000001</v>
      </c>
      <c r="B22" s="7">
        <f t="shared" ref="B22:B33" si="2">FC_AMT*A22</f>
        <v>13875000.000000002</v>
      </c>
      <c r="C22" s="7">
        <f t="shared" ref="C22:C33" si="3">USD_forward</f>
        <v>13637500</v>
      </c>
      <c r="D22" s="7">
        <f t="shared" ref="D22:D33" si="4">USD_mm</f>
        <v>14818985.805188447</v>
      </c>
      <c r="E22" s="7">
        <f t="shared" si="0"/>
        <v>-40000</v>
      </c>
      <c r="F22" s="7">
        <f t="shared" si="1"/>
        <v>212500.00000000003</v>
      </c>
    </row>
    <row r="23" spans="1:6" x14ac:dyDescent="0.2">
      <c r="A23" s="5">
        <v>1.1200000000000001</v>
      </c>
      <c r="B23" s="7">
        <f t="shared" si="2"/>
        <v>14000000.000000002</v>
      </c>
      <c r="C23" s="7">
        <f t="shared" si="3"/>
        <v>13637500</v>
      </c>
      <c r="D23" s="7">
        <f t="shared" si="4"/>
        <v>14818985.805188447</v>
      </c>
      <c r="E23" s="7">
        <f t="shared" si="0"/>
        <v>-40000</v>
      </c>
      <c r="F23" s="7">
        <f t="shared" si="1"/>
        <v>212500.00000000003</v>
      </c>
    </row>
    <row r="24" spans="1:6" x14ac:dyDescent="0.2">
      <c r="A24" s="5">
        <v>1.1299999999999999</v>
      </c>
      <c r="B24" s="7">
        <f t="shared" si="2"/>
        <v>14124999.999999998</v>
      </c>
      <c r="C24" s="7">
        <f t="shared" si="3"/>
        <v>13637500</v>
      </c>
      <c r="D24" s="7">
        <f t="shared" si="4"/>
        <v>14818985.805188447</v>
      </c>
      <c r="E24" s="7">
        <f t="shared" si="0"/>
        <v>-40000.000000001863</v>
      </c>
      <c r="F24" s="7">
        <f t="shared" si="1"/>
        <v>212500.00000000003</v>
      </c>
    </row>
    <row r="25" spans="1:6" x14ac:dyDescent="0.2">
      <c r="A25" s="5">
        <v>1.1399999999999999</v>
      </c>
      <c r="B25" s="7">
        <f t="shared" si="2"/>
        <v>14249999.999999998</v>
      </c>
      <c r="C25" s="7">
        <f t="shared" si="3"/>
        <v>13637500</v>
      </c>
      <c r="D25" s="7">
        <f t="shared" si="4"/>
        <v>14818985.805188447</v>
      </c>
      <c r="E25" s="7">
        <f t="shared" si="0"/>
        <v>-40000.000000001863</v>
      </c>
      <c r="F25" s="7">
        <f t="shared" si="1"/>
        <v>212500.00000000003</v>
      </c>
    </row>
    <row r="26" spans="1:6" x14ac:dyDescent="0.2">
      <c r="A26" s="5">
        <v>1.1499999999999999</v>
      </c>
      <c r="B26" s="7">
        <f t="shared" si="2"/>
        <v>14374999.999999998</v>
      </c>
      <c r="C26" s="7">
        <f t="shared" si="3"/>
        <v>13637500</v>
      </c>
      <c r="D26" s="7">
        <f t="shared" si="4"/>
        <v>14818985.805188447</v>
      </c>
      <c r="E26" s="7">
        <f t="shared" si="0"/>
        <v>-40000.000000001863</v>
      </c>
      <c r="F26" s="7">
        <f t="shared" si="1"/>
        <v>212500.00000000003</v>
      </c>
    </row>
    <row r="27" spans="1:6" x14ac:dyDescent="0.2">
      <c r="A27" s="5">
        <v>1.1599999999999999</v>
      </c>
      <c r="B27" s="7">
        <f t="shared" si="2"/>
        <v>14499999.999999998</v>
      </c>
      <c r="C27" s="7">
        <f t="shared" si="3"/>
        <v>13637500</v>
      </c>
      <c r="D27" s="7">
        <f t="shared" si="4"/>
        <v>14818985.805188447</v>
      </c>
      <c r="E27" s="7">
        <f t="shared" si="0"/>
        <v>-40000.000000001863</v>
      </c>
      <c r="F27" s="7">
        <f t="shared" si="1"/>
        <v>212500.00000000003</v>
      </c>
    </row>
    <row r="28" spans="1:6" x14ac:dyDescent="0.2">
      <c r="A28" s="5">
        <v>1.17</v>
      </c>
      <c r="B28" s="7">
        <f t="shared" si="2"/>
        <v>14625000</v>
      </c>
      <c r="C28" s="7">
        <f t="shared" si="3"/>
        <v>13637500</v>
      </c>
      <c r="D28" s="7">
        <f t="shared" si="4"/>
        <v>14818985.805188447</v>
      </c>
      <c r="E28" s="7">
        <f t="shared" si="0"/>
        <v>85000</v>
      </c>
      <c r="F28" s="7">
        <f t="shared" si="1"/>
        <v>212500.00000000003</v>
      </c>
    </row>
    <row r="29" spans="1:6" x14ac:dyDescent="0.2">
      <c r="A29" s="5">
        <v>1.18</v>
      </c>
      <c r="B29" s="7">
        <f t="shared" si="2"/>
        <v>14750000</v>
      </c>
      <c r="C29" s="7">
        <f t="shared" si="3"/>
        <v>13637500</v>
      </c>
      <c r="D29" s="7">
        <f t="shared" si="4"/>
        <v>14818985.805188447</v>
      </c>
      <c r="E29" s="7">
        <f t="shared" si="0"/>
        <v>210000</v>
      </c>
      <c r="F29" s="7">
        <f t="shared" si="1"/>
        <v>212500.00000000003</v>
      </c>
    </row>
    <row r="30" spans="1:6" x14ac:dyDescent="0.2">
      <c r="A30" s="5">
        <v>1.19</v>
      </c>
      <c r="B30" s="7">
        <f t="shared" si="2"/>
        <v>14875000</v>
      </c>
      <c r="C30" s="7">
        <f t="shared" si="3"/>
        <v>13637500</v>
      </c>
      <c r="D30" s="7">
        <f t="shared" si="4"/>
        <v>14818985.805188447</v>
      </c>
      <c r="E30" s="7">
        <f t="shared" si="0"/>
        <v>335000</v>
      </c>
      <c r="F30" s="7">
        <f t="shared" si="1"/>
        <v>212500.00000000003</v>
      </c>
    </row>
    <row r="31" spans="1:6" x14ac:dyDescent="0.2">
      <c r="A31" s="5">
        <v>1.2</v>
      </c>
      <c r="B31" s="7">
        <f t="shared" si="2"/>
        <v>15000000</v>
      </c>
      <c r="C31" s="7">
        <f t="shared" si="3"/>
        <v>13637500</v>
      </c>
      <c r="D31" s="7">
        <f t="shared" si="4"/>
        <v>14818985.805188447</v>
      </c>
      <c r="E31" s="7">
        <f t="shared" si="0"/>
        <v>460000</v>
      </c>
      <c r="F31" s="7">
        <f t="shared" si="1"/>
        <v>212500.00000000003</v>
      </c>
    </row>
    <row r="32" spans="1:6" x14ac:dyDescent="0.2">
      <c r="A32" s="5">
        <v>1.21</v>
      </c>
      <c r="B32" s="7">
        <f t="shared" si="2"/>
        <v>15125000</v>
      </c>
      <c r="C32" s="7">
        <f t="shared" si="3"/>
        <v>13637500</v>
      </c>
      <c r="D32" s="7">
        <f t="shared" si="4"/>
        <v>14818985.805188447</v>
      </c>
      <c r="E32" s="7">
        <f t="shared" si="0"/>
        <v>585000</v>
      </c>
      <c r="F32" s="7">
        <f t="shared" si="1"/>
        <v>212500.00000000003</v>
      </c>
    </row>
    <row r="33" spans="1:6" x14ac:dyDescent="0.2">
      <c r="A33" s="5">
        <v>1.22</v>
      </c>
      <c r="B33" s="7">
        <f t="shared" si="2"/>
        <v>15250000</v>
      </c>
      <c r="C33" s="7">
        <f t="shared" si="3"/>
        <v>13637500</v>
      </c>
      <c r="D33" s="7">
        <f t="shared" si="4"/>
        <v>14818985.805188447</v>
      </c>
      <c r="E33" s="7">
        <f t="shared" si="0"/>
        <v>710000</v>
      </c>
      <c r="F33" s="7">
        <f t="shared" si="1"/>
        <v>212500.00000000003</v>
      </c>
    </row>
  </sheetData>
  <mergeCells count="1">
    <mergeCell ref="B17:D21"/>
  </mergeCells>
  <conditionalFormatting sqref="A6:C16">
    <cfRule type="notContainsBlanks" dxfId="1" priority="1">
      <formula>LEN(TRIM(A6))&gt;0</formula>
    </cfRule>
  </conditionalFormatting>
  <conditionalFormatting sqref="A13:D20">
    <cfRule type="notContainsBlanks" dxfId="0" priority="2">
      <formula>LEN(TRIM(A13))&gt;0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808080"/>
  </sheetPr>
  <dimension ref="A1:A34"/>
  <sheetViews>
    <sheetView topLeftCell="A18" workbookViewId="0">
      <selection activeCell="A3" sqref="A3"/>
    </sheetView>
  </sheetViews>
  <sheetFormatPr baseColWidth="10" defaultColWidth="8.83203125" defaultRowHeight="15" x14ac:dyDescent="0.2"/>
  <cols>
    <col min="1" max="1" width="110.6640625" customWidth="1"/>
  </cols>
  <sheetData>
    <row r="1" spans="1:1" ht="19" customHeight="1" x14ac:dyDescent="0.25">
      <c r="A1" s="1" t="s">
        <v>71</v>
      </c>
    </row>
    <row r="3" spans="1:1" ht="128" customHeight="1" x14ac:dyDescent="0.2">
      <c r="A3" s="11" t="s">
        <v>43</v>
      </c>
    </row>
    <row r="4" spans="1:1" x14ac:dyDescent="0.2">
      <c r="A4" t="s">
        <v>44</v>
      </c>
    </row>
    <row r="5" spans="1:1" x14ac:dyDescent="0.2">
      <c r="A5" t="s">
        <v>45</v>
      </c>
    </row>
    <row r="6" spans="1:1" x14ac:dyDescent="0.2">
      <c r="A6" t="s">
        <v>46</v>
      </c>
    </row>
    <row r="7" spans="1:1" x14ac:dyDescent="0.2">
      <c r="A7" t="s">
        <v>47</v>
      </c>
    </row>
    <row r="8" spans="1:1" x14ac:dyDescent="0.2">
      <c r="A8" t="s">
        <v>48</v>
      </c>
    </row>
    <row r="9" spans="1:1" x14ac:dyDescent="0.2">
      <c r="A9" t="s">
        <v>49</v>
      </c>
    </row>
    <row r="11" spans="1:1" x14ac:dyDescent="0.2">
      <c r="A11" t="s">
        <v>50</v>
      </c>
    </row>
    <row r="12" spans="1:1" x14ac:dyDescent="0.2">
      <c r="A12" t="s">
        <v>51</v>
      </c>
    </row>
    <row r="13" spans="1:1" x14ac:dyDescent="0.2">
      <c r="A13" t="s">
        <v>52</v>
      </c>
    </row>
    <row r="14" spans="1:1" x14ac:dyDescent="0.2">
      <c r="A14" t="s">
        <v>53</v>
      </c>
    </row>
    <row r="15" spans="1:1" x14ac:dyDescent="0.2">
      <c r="A15" t="s">
        <v>54</v>
      </c>
    </row>
    <row r="16" spans="1:1" x14ac:dyDescent="0.2">
      <c r="A16" t="s">
        <v>55</v>
      </c>
    </row>
    <row r="18" spans="1:1" x14ac:dyDescent="0.2">
      <c r="A18" t="s">
        <v>56</v>
      </c>
    </row>
    <row r="19" spans="1:1" x14ac:dyDescent="0.2">
      <c r="A19" t="s">
        <v>57</v>
      </c>
    </row>
    <row r="20" spans="1:1" x14ac:dyDescent="0.2">
      <c r="A20" t="s">
        <v>58</v>
      </c>
    </row>
    <row r="21" spans="1:1" x14ac:dyDescent="0.2">
      <c r="A21" t="s">
        <v>59</v>
      </c>
    </row>
    <row r="23" spans="1:1" x14ac:dyDescent="0.2">
      <c r="A23" t="s">
        <v>60</v>
      </c>
    </row>
    <row r="24" spans="1:1" x14ac:dyDescent="0.2">
      <c r="A24" t="s">
        <v>61</v>
      </c>
    </row>
    <row r="25" spans="1:1" x14ac:dyDescent="0.2">
      <c r="A25" t="s">
        <v>62</v>
      </c>
    </row>
    <row r="26" spans="1:1" x14ac:dyDescent="0.2">
      <c r="A26" t="s">
        <v>63</v>
      </c>
    </row>
    <row r="28" spans="1:1" x14ac:dyDescent="0.2">
      <c r="A28" t="s">
        <v>64</v>
      </c>
    </row>
    <row r="29" spans="1:1" x14ac:dyDescent="0.2">
      <c r="A29" t="s">
        <v>65</v>
      </c>
    </row>
    <row r="30" spans="1:1" x14ac:dyDescent="0.2">
      <c r="A30" t="s">
        <v>66</v>
      </c>
    </row>
    <row r="32" spans="1:1" x14ac:dyDescent="0.2">
      <c r="A32" t="s">
        <v>67</v>
      </c>
    </row>
    <row r="33" spans="1:1" x14ac:dyDescent="0.2">
      <c r="A33" t="s">
        <v>68</v>
      </c>
    </row>
    <row r="34" spans="1:1" x14ac:dyDescent="0.2">
      <c r="A3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Model</vt:lpstr>
      <vt:lpstr>Notes</vt:lpstr>
      <vt:lpstr>F0_IRP</vt:lpstr>
      <vt:lpstr>FC_AMT</vt:lpstr>
      <vt:lpstr>K_call</vt:lpstr>
      <vt:lpstr>K_put</vt:lpstr>
      <vt:lpstr>MM_EUR_borrow</vt:lpstr>
      <vt:lpstr>Premium_call</vt:lpstr>
      <vt:lpstr>Premium_put</vt:lpstr>
      <vt:lpstr>r_EUR</vt:lpstr>
      <vt:lpstr>r_USD</vt:lpstr>
      <vt:lpstr>t_years</vt:lpstr>
      <vt:lpstr>USD_forward</vt:lpstr>
      <vt:lpstr>USD_mm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Storr</cp:lastModifiedBy>
  <dcterms:created xsi:type="dcterms:W3CDTF">2025-11-21T03:22:21Z</dcterms:created>
  <dcterms:modified xsi:type="dcterms:W3CDTF">2025-11-22T06:14:21Z</dcterms:modified>
</cp:coreProperties>
</file>