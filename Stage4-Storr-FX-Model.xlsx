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storrconnor/Desktop/FIN 321 GITHUB/"/>
    </mc:Choice>
  </mc:AlternateContent>
  <xr:revisionPtr revIDLastSave="0" documentId="8_{6B1E6461-078C-6A49-BF7A-7AA0CAA1AC2A}" xr6:coauthVersionLast="47" xr6:coauthVersionMax="47" xr10:uidLastSave="{00000000-0000-0000-0000-000000000000}"/>
  <bookViews>
    <workbookView xWindow="2440" yWindow="2120" windowWidth="30240" windowHeight="17300" xr2:uid="{00000000-000D-0000-FFFF-FFFF00000000}"/>
  </bookViews>
  <sheets>
    <sheet name="Model" sheetId="1" r:id="rId1"/>
  </sheets>
  <definedNames>
    <definedName name="F0_in">Model!$B$7</definedName>
    <definedName name="FC_AMT">Model!$B$5</definedName>
    <definedName name="K_CALL">Model!$B$11</definedName>
    <definedName name="K_PUT">Model!$B$10</definedName>
    <definedName name="PREM_CALL">Model!$B$13</definedName>
    <definedName name="PREM_PUT">Model!$B$12</definedName>
    <definedName name="R_FC">Model!$B$9</definedName>
    <definedName name="R_USD">Model!$B$8</definedName>
    <definedName name="S0_in">Model!$B$6</definedName>
    <definedName name="T_DAYS">Model!$B$14</definedName>
    <definedName name="T_YRS">Model!$B$15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A33" i="1"/>
  <c r="F33" i="1" s="1"/>
  <c r="C32" i="1"/>
  <c r="A32" i="1"/>
  <c r="B32" i="1" s="1"/>
  <c r="C31" i="1"/>
  <c r="A31" i="1"/>
  <c r="F31" i="1" s="1"/>
  <c r="B19" i="1"/>
  <c r="B15" i="1"/>
  <c r="B22" i="1" s="1"/>
  <c r="B23" i="1" s="1"/>
  <c r="B24" i="1" s="1"/>
  <c r="D31" i="1" l="1"/>
  <c r="D32" i="1"/>
  <c r="B26" i="1"/>
  <c r="D33" i="1"/>
  <c r="E32" i="1"/>
  <c r="B31" i="1"/>
  <c r="F32" i="1"/>
  <c r="B33" i="1"/>
  <c r="E31" i="1"/>
  <c r="E33" i="1"/>
</calcChain>
</file>

<file path=xl/sharedStrings.xml><?xml version="1.0" encoding="utf-8"?>
<sst xmlns="http://schemas.openxmlformats.org/spreadsheetml/2006/main" count="41" uniqueCount="41">
  <si>
    <t>Stage 4 – FX Hedging Model (EUR Receivable)</t>
  </si>
  <si>
    <t>INPUTS / ASSUMPTIONS</t>
  </si>
  <si>
    <t>Variable</t>
  </si>
  <si>
    <t>Value</t>
  </si>
  <si>
    <t>Description</t>
  </si>
  <si>
    <t>FC_AMT</t>
  </si>
  <si>
    <t>EUR receivable amount</t>
  </si>
  <si>
    <t>S0_in</t>
  </si>
  <si>
    <t>Spot rate (USD/EUR)</t>
  </si>
  <si>
    <t>F0_in</t>
  </si>
  <si>
    <t>Forward rate (USD/EUR)</t>
  </si>
  <si>
    <t>R_USD</t>
  </si>
  <si>
    <t>USD interest rate (per year)</t>
  </si>
  <si>
    <t>R_FC</t>
  </si>
  <si>
    <t>EUR interest rate (per year)</t>
  </si>
  <si>
    <t>K_PUT</t>
  </si>
  <si>
    <t>Put strike (USD/EUR)</t>
  </si>
  <si>
    <t>K_CALL</t>
  </si>
  <si>
    <t>Call strike (USD/EUR)</t>
  </si>
  <si>
    <t>PREM_PUT</t>
  </si>
  <si>
    <t>Put premium (USD/EUR)</t>
  </si>
  <si>
    <t>PREM_CALL</t>
  </si>
  <si>
    <t>Call premium (USD/EUR)</t>
  </si>
  <si>
    <t>T_DAYS</t>
  </si>
  <si>
    <t>Days to maturity</t>
  </si>
  <si>
    <t>T_YRS</t>
  </si>
  <si>
    <t>Time to maturity (years)</t>
  </si>
  <si>
    <t>FORWARD HEDGE</t>
  </si>
  <si>
    <t>Forward USD Proceeds</t>
  </si>
  <si>
    <t>MONEY MARKET HEDGE (Borrow EUR → Convert → Invest USD)</t>
  </si>
  <si>
    <t>Borrow EUR today (PV of receivable)</t>
  </si>
  <si>
    <t>Convert borrowed EUR to USD at spot</t>
  </si>
  <si>
    <t>Invest USD until maturity</t>
  </si>
  <si>
    <t>Parity Check: Money Market – Forward (USD)</t>
  </si>
  <si>
    <t>SENSITIVITY ANALYSIS (±5% Spot)</t>
  </si>
  <si>
    <t>S_T</t>
  </si>
  <si>
    <t>Unhedged_USD</t>
  </si>
  <si>
    <t>Forward_USD</t>
  </si>
  <si>
    <t>MM_USD</t>
  </si>
  <si>
    <t>Put_net_USD</t>
  </si>
  <si>
    <t>Call_net_USD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</si>
</sst>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DD8E6"/>
        <bgColor rgb="FFADD8E6"/>
      </patternFill>
    </fill>
    <fill>
      <patternFill patternType="solid">
        <fgColor rgb="FFD3D3D3"/>
        <bgColor rgb="FFD3D3D3"/>
      </patternFill>
    </fill>
    <fill>
      <patternFill patternType="solid">
        <fgColor rgb="FF90EE90"/>
        <bgColor rgb="FF90EE90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/>
  </sheetViews>
  <sheetFormatPr baseColWidth="10" defaultColWidth="8.83203125" defaultRowHeight="15" x14ac:dyDescent="0.2"/>
  <cols>
    <col min="1" max="1" width="18" customWidth="1"/>
    <col min="2" max="2" width="16" customWidth="1"/>
    <col min="3" max="3" width="40" customWidth="1"/>
    <col min="4" max="6" width="18" customWidth="1"/>
  </cols>
  <sheetData>
    <row r="1" spans="1:3" ht="19" x14ac:dyDescent="0.25">
      <c r="A1" s="1" t="s">
        <v>0</v>
      </c>
    </row>
    <row r="3" spans="1:3" x14ac:dyDescent="0.2">
      <c r="A3" s="2" t="s">
        <v>1</v>
      </c>
    </row>
    <row r="4" spans="1:3" x14ac:dyDescent="0.2">
      <c r="A4" s="2" t="s">
        <v>2</v>
      </c>
      <c r="B4" s="2" t="s">
        <v>3</v>
      </c>
      <c r="C4" s="2" t="s">
        <v>4</v>
      </c>
    </row>
    <row r="5" spans="1:3" x14ac:dyDescent="0.2">
      <c r="A5" t="s">
        <v>5</v>
      </c>
      <c r="B5" s="3">
        <v>12500000</v>
      </c>
      <c r="C5" t="s">
        <v>6</v>
      </c>
    </row>
    <row r="6" spans="1:3" x14ac:dyDescent="0.2">
      <c r="A6" t="s">
        <v>7</v>
      </c>
      <c r="B6" s="3">
        <v>1.1632</v>
      </c>
      <c r="C6" t="s">
        <v>8</v>
      </c>
    </row>
    <row r="7" spans="1:3" x14ac:dyDescent="0.2">
      <c r="A7" t="s">
        <v>9</v>
      </c>
      <c r="B7" s="3">
        <v>1.091</v>
      </c>
      <c r="C7" t="s">
        <v>10</v>
      </c>
    </row>
    <row r="8" spans="1:3" x14ac:dyDescent="0.2">
      <c r="A8" t="s">
        <v>11</v>
      </c>
      <c r="B8" s="3">
        <v>4.1099999999999998E-2</v>
      </c>
      <c r="C8" t="s">
        <v>12</v>
      </c>
    </row>
    <row r="9" spans="1:3" x14ac:dyDescent="0.2">
      <c r="A9" t="s">
        <v>13</v>
      </c>
      <c r="B9" s="3">
        <v>2.1499999999999998E-2</v>
      </c>
      <c r="C9" t="s">
        <v>14</v>
      </c>
    </row>
    <row r="10" spans="1:3" x14ac:dyDescent="0.2">
      <c r="A10" t="s">
        <v>15</v>
      </c>
      <c r="B10" s="3">
        <v>1.1632</v>
      </c>
      <c r="C10" t="s">
        <v>16</v>
      </c>
    </row>
    <row r="11" spans="1:3" x14ac:dyDescent="0.2">
      <c r="A11" t="s">
        <v>17</v>
      </c>
      <c r="B11" s="3">
        <v>1.1632</v>
      </c>
      <c r="C11" t="s">
        <v>18</v>
      </c>
    </row>
    <row r="12" spans="1:3" x14ac:dyDescent="0.2">
      <c r="A12" t="s">
        <v>19</v>
      </c>
      <c r="B12" s="3">
        <v>1.7000000000000001E-2</v>
      </c>
      <c r="C12" t="s">
        <v>20</v>
      </c>
    </row>
    <row r="13" spans="1:3" x14ac:dyDescent="0.2">
      <c r="A13" t="s">
        <v>21</v>
      </c>
      <c r="B13" s="3">
        <v>2.1999999999999999E-2</v>
      </c>
      <c r="C13" t="s">
        <v>22</v>
      </c>
    </row>
    <row r="14" spans="1:3" x14ac:dyDescent="0.2">
      <c r="A14" t="s">
        <v>23</v>
      </c>
      <c r="B14" s="3">
        <v>360</v>
      </c>
      <c r="C14" t="s">
        <v>24</v>
      </c>
    </row>
    <row r="15" spans="1:3" x14ac:dyDescent="0.2">
      <c r="A15" t="s">
        <v>25</v>
      </c>
      <c r="B15" s="4">
        <f>T_DAYS/360</f>
        <v>1</v>
      </c>
      <c r="C15" t="s">
        <v>26</v>
      </c>
    </row>
    <row r="16" spans="1:3" x14ac:dyDescent="0.2">
      <c r="A16" s="5"/>
      <c r="B16" s="5"/>
      <c r="C16" s="5"/>
    </row>
    <row r="18" spans="1:6" x14ac:dyDescent="0.2">
      <c r="A18" s="2" t="s">
        <v>27</v>
      </c>
    </row>
    <row r="19" spans="1:6" x14ac:dyDescent="0.2">
      <c r="A19" t="s">
        <v>28</v>
      </c>
      <c r="B19" s="6">
        <f>FC_AMT*F0_in</f>
        <v>13637500</v>
      </c>
    </row>
    <row r="21" spans="1:6" x14ac:dyDescent="0.2">
      <c r="A21" s="2" t="s">
        <v>29</v>
      </c>
    </row>
    <row r="22" spans="1:6" x14ac:dyDescent="0.2">
      <c r="A22" t="s">
        <v>30</v>
      </c>
      <c r="B22" s="7">
        <f>FC_AMT/(1+R_FC*T_YRS)</f>
        <v>12236906.510034263</v>
      </c>
    </row>
    <row r="23" spans="1:6" x14ac:dyDescent="0.2">
      <c r="A23" t="s">
        <v>31</v>
      </c>
      <c r="B23" s="7">
        <f>B22*S0_in</f>
        <v>14233969.652471855</v>
      </c>
    </row>
    <row r="24" spans="1:6" x14ac:dyDescent="0.2">
      <c r="A24" t="s">
        <v>32</v>
      </c>
      <c r="B24" s="6">
        <f>B23*(1+R_USD*T_YRS)</f>
        <v>14818985.805188447</v>
      </c>
    </row>
    <row r="26" spans="1:6" x14ac:dyDescent="0.2">
      <c r="A26" t="s">
        <v>33</v>
      </c>
      <c r="B26" s="6">
        <f>B24-B19</f>
        <v>1181485.8051884472</v>
      </c>
    </row>
    <row r="29" spans="1:6" x14ac:dyDescent="0.2">
      <c r="A29" s="2" t="s">
        <v>34</v>
      </c>
    </row>
    <row r="30" spans="1:6" x14ac:dyDescent="0.2">
      <c r="A30" s="2" t="s">
        <v>35</v>
      </c>
      <c r="B30" s="2" t="s">
        <v>36</v>
      </c>
      <c r="C30" s="2" t="s">
        <v>37</v>
      </c>
      <c r="D30" s="2" t="s">
        <v>38</v>
      </c>
      <c r="E30" s="2" t="s">
        <v>39</v>
      </c>
      <c r="F30" s="2" t="s">
        <v>40</v>
      </c>
    </row>
    <row r="31" spans="1:6" x14ac:dyDescent="0.2">
      <c r="A31" s="4">
        <f>S0_in*0.95</f>
        <v>1.10504</v>
      </c>
      <c r="B31" s="6">
        <f>A31*FC_AMT</f>
        <v>13813000</v>
      </c>
      <c r="C31" s="6">
        <f>B19</f>
        <v>13637500</v>
      </c>
      <c r="D31" s="6">
        <f>B24</f>
        <v>14818985.805188447</v>
      </c>
      <c r="E31" s="6">
        <f>MAX(K_PUT-A31,0)*FC_AMT-PREM_PUT*FC_AMT</f>
        <v>514499.99999999988</v>
      </c>
      <c r="F31" s="6">
        <f>MAX(A31-K_CALL,0)*FC_AMT-PREM_CALL*FC_AMT</f>
        <v>-275000</v>
      </c>
    </row>
    <row r="32" spans="1:6" x14ac:dyDescent="0.2">
      <c r="A32" s="4">
        <f>S0_in</f>
        <v>1.1632</v>
      </c>
      <c r="B32" s="6">
        <f>A32*FC_AMT</f>
        <v>14540000</v>
      </c>
      <c r="C32" s="6">
        <f>B19</f>
        <v>13637500</v>
      </c>
      <c r="D32" s="6">
        <f>B24</f>
        <v>14818985.805188447</v>
      </c>
      <c r="E32" s="6">
        <f>MAX(K_PUT-A32,0)*FC_AMT-PREM_PUT*FC_AMT</f>
        <v>-212500.00000000003</v>
      </c>
      <c r="F32" s="6">
        <f>MAX(A32-K_CALL,0)*FC_AMT-PREM_CALL*FC_AMT</f>
        <v>-275000</v>
      </c>
    </row>
    <row r="33" spans="1:6" x14ac:dyDescent="0.2">
      <c r="A33" s="4">
        <f>S0_in*1.05</f>
        <v>1.22136</v>
      </c>
      <c r="B33" s="6">
        <f>A33*FC_AMT</f>
        <v>15267000</v>
      </c>
      <c r="C33" s="6">
        <f>B19</f>
        <v>13637500</v>
      </c>
      <c r="D33" s="6">
        <f>B24</f>
        <v>14818985.805188447</v>
      </c>
      <c r="E33" s="6">
        <f>MAX(K_PUT-A33,0)*FC_AMT-PREM_PUT*FC_AMT</f>
        <v>-212500.00000000003</v>
      </c>
      <c r="F33" s="6">
        <f>MAX(A33-K_CALL,0)*FC_AMT-PREM_CALL*FC_AMT</f>
        <v>451999.99999999988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Model</vt:lpstr>
      <vt:lpstr>F0_in</vt:lpstr>
      <vt:lpstr>FC_AMT</vt:lpstr>
      <vt:lpstr>K_CALL</vt:lpstr>
      <vt:lpstr>K_PUT</vt:lpstr>
      <vt:lpstr>PREM_CALL</vt:lpstr>
      <vt:lpstr>PREM_PUT</vt:lpstr>
      <vt:lpstr>R_FC</vt:lpstr>
      <vt:lpstr>R_USD</vt:lpstr>
      <vt:lpstr>S0_in</vt:lpstr>
      <vt:lpstr>T_DAYS</vt:lpstr>
      <vt:lpstr>T_YRS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Storr</cp:lastModifiedBy>
  <dcterms:created xsi:type="dcterms:W3CDTF">2025-12-05T18:30:47Z</dcterms:created>
  <dcterms:modified xsi:type="dcterms:W3CDTF">2025-12-05T18:31:51Z</dcterms:modified>
</cp:coreProperties>
</file>